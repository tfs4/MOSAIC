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eeds" sheetId="2" state="visible" r:id="rId2"/>
    <sheet xmlns:r="http://schemas.openxmlformats.org/officeDocument/2006/relationships" name="Ablacao" sheetId="3" state="visible" r:id="rId3"/>
    <sheet xmlns:r="http://schemas.openxmlformats.org/officeDocument/2006/relationships" name="Expressao" sheetId="4" state="visible" r:id="rId4"/>
    <sheet xmlns:r="http://schemas.openxmlformats.org/officeDocument/2006/relationships" name="Linhagem_por_classe" sheetId="5" state="visible" r:id="rId5"/>
    <sheet xmlns:r="http://schemas.openxmlformats.org/officeDocument/2006/relationships" name="Notas" sheetId="6" state="visible" r:id="rId6"/>
  </sheets>
  <definedNames>
    <definedName name="_xlnm._FilterDatabase" localSheetId="0" hidden="1">'Resumo'!$A$4:$O$11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sz val="11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DD4EA"/>
      </left>
      <right style="thin">
        <color rgb="00BDD4EA"/>
      </right>
      <top style="thin">
        <color rgb="00BDD4EA"/>
      </top>
      <bottom style="thin">
        <color rgb="00BDD4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PCC / Accuracy / Macro-F1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'Seeds'!B17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'Seeds'!$A$18:$A$20</f>
            </numRef>
          </cat>
          <val>
            <numRef>
              <f>'Seeds'!$B$18:$B$20</f>
            </numRef>
          </val>
        </ser>
        <ser>
          <idx val="1"/>
          <order val="1"/>
          <tx>
            <strRef>
              <f>'Seeds'!C17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'Seeds'!$A$18:$A$20</f>
            </numRef>
          </cat>
          <val>
            <numRef>
              <f>'Seeds'!$C$18:$C$20</f>
            </numRef>
          </val>
        </ser>
        <ser>
          <idx val="2"/>
          <order val="2"/>
          <tx>
            <strRef>
              <f>'Seeds'!D17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'Seeds'!$A$18:$A$20</f>
            </numRef>
          </cat>
          <val>
            <numRef>
              <f>'Seeds'!$D$18:$D$20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7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Ablation: test PCC / accuracy / F1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'Ablacao'!B14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'Ablacao'!$A$15:$A$19</f>
            </numRef>
          </cat>
          <val>
            <numRef>
              <f>'Ablacao'!$B$15:$B$19</f>
            </numRef>
          </val>
        </ser>
        <ser>
          <idx val="1"/>
          <order val="1"/>
          <tx>
            <strRef>
              <f>'Ablacao'!C14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'Ablacao'!$A$15:$A$19</f>
            </numRef>
          </cat>
          <val>
            <numRef>
              <f>'Ablacao'!$C$15:$C$19</f>
            </numRef>
          </val>
        </ser>
        <ser>
          <idx val="2"/>
          <order val="2"/>
          <tx>
            <strRef>
              <f>'Ablacao'!D14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'Ablacao'!$A$15:$A$19</f>
            </numRef>
          </cat>
          <val>
            <numRef>
              <f>'Ablacao'!$D$15:$D$19</f>
            </numRef>
          </val>
        </ser>
        <ser>
          <idx val="3"/>
          <order val="3"/>
          <tx>
            <strRef>
              <f>'Ablacao'!E14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'Ablacao'!$A$15:$A$19</f>
            </numRef>
          </cat>
          <val>
            <numRef>
              <f>'Ablacao'!$E$15:$E$19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42" customWidth="1" min="3" max="3"/>
    <col width="6" customWidth="1" min="4" max="4"/>
    <col width="14" customWidth="1" min="5" max="5"/>
    <col width="8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22" customHeight="1">
      <c r="A1" s="1" t="inlineStr">
        <is>
          <t>MOSAIC — experiment results (Scientific Reports revision)</t>
        </is>
      </c>
    </row>
    <row r="2" ht="36" customHeight="1">
      <c r="A2" s="2" t="inlineStr">
        <is>
          <t>All GPU runs share train UC6 100% / val UC7 20% / test UC1 10%. Ablations reuse seed-42 cells via --indices_dir. Seeds 0 and 20 redraw the split. K=8 was not run. n_test = 20,253 cells, 460 genes. Protocol: no use_graph, no log1p.</t>
        </is>
      </c>
    </row>
    <row r="4" ht="22" customHeight="1">
      <c r="A4" s="3" t="inlineStr">
        <is>
          <t>Run</t>
        </is>
      </c>
      <c r="B4" s="3" t="inlineStr">
        <is>
          <t>Group</t>
        </is>
      </c>
      <c r="C4" s="3" t="inlineStr">
        <is>
          <t>Folder</t>
        </is>
      </c>
      <c r="D4" s="3" t="inlineStr">
        <is>
          <t>K</t>
        </is>
      </c>
      <c r="E4" s="3" t="inlineStr">
        <is>
          <t>Aggregation</t>
        </is>
      </c>
      <c r="F4" s="3" t="inlineStr">
        <is>
          <t>Seed</t>
        </is>
      </c>
      <c r="G4" s="3" t="inlineStr">
        <is>
          <t>Val PCC</t>
        </is>
      </c>
      <c r="H4" s="3" t="inlineStr">
        <is>
          <t>Test PCC</t>
        </is>
      </c>
      <c r="I4" s="3" t="inlineStr">
        <is>
          <t>Test Spearman</t>
        </is>
      </c>
      <c r="J4" s="3" t="inlineStr">
        <is>
          <t>Test MAE</t>
        </is>
      </c>
      <c r="K4" s="3" t="inlineStr">
        <is>
          <t>Test RMSE</t>
        </is>
      </c>
      <c r="L4" s="3" t="inlineStr">
        <is>
          <t>Accuracy</t>
        </is>
      </c>
      <c r="M4" s="3" t="inlineStr">
        <is>
          <t>Macro-F1</t>
        </is>
      </c>
      <c r="N4" s="3" t="inlineStr">
        <is>
          <t>Weighted-F1</t>
        </is>
      </c>
      <c r="O4" s="3" t="inlineStr">
        <is>
          <t>Val macro-F1</t>
        </is>
      </c>
    </row>
    <row r="5" ht="20" customHeight="1">
      <c r="A5" s="4" t="inlineStr">
        <is>
          <t>Manuscript (original PDF)</t>
        </is>
      </c>
      <c r="B5" s="5" t="inlineStr">
        <is>
          <t>Manuscript</t>
        </is>
      </c>
      <c r="C5" s="5" t="inlineStr">
        <is>
          <t>—</t>
        </is>
      </c>
      <c r="D5" s="5" t="n">
        <v>6</v>
      </c>
      <c r="E5" s="5" t="inlineStr">
        <is>
          <t>attention</t>
        </is>
      </c>
      <c r="F5" s="5" t="n">
        <v>42</v>
      </c>
      <c r="G5" s="6" t="n">
        <v>0.263</v>
      </c>
      <c r="H5" s="6" t="n">
        <v>0.2052</v>
      </c>
      <c r="I5" s="5" t="n"/>
      <c r="J5" s="5" t="n"/>
      <c r="K5" s="5" t="n"/>
      <c r="L5" s="6" t="n">
        <v>0.599</v>
      </c>
      <c r="M5" s="6" t="n">
        <v>0.514</v>
      </c>
      <c r="N5" s="6" t="n">
        <v>0.593</v>
      </c>
      <c r="O5" s="5" t="n"/>
    </row>
    <row r="6" ht="20" customHeight="1">
      <c r="A6" s="7" t="inlineStr">
        <is>
          <t>K=6 attention, seed 42 (A100)</t>
        </is>
      </c>
      <c r="B6" s="8" t="inlineStr">
        <is>
          <t>Paper protocol</t>
        </is>
      </c>
      <c r="C6" s="8" t="inlineStr">
        <is>
          <t>results/mosaic_k6_seed42</t>
        </is>
      </c>
      <c r="D6" s="8" t="n">
        <v>6</v>
      </c>
      <c r="E6" s="8" t="inlineStr">
        <is>
          <t>attention</t>
        </is>
      </c>
      <c r="F6" s="8" t="n">
        <v>42</v>
      </c>
      <c r="G6" s="9" t="n">
        <v>0.275301099443669</v>
      </c>
      <c r="H6" s="9" t="n">
        <v>0.2219585618143456</v>
      </c>
      <c r="I6" s="9" t="n">
        <v>0.1737878473323392</v>
      </c>
      <c r="J6" s="9" t="n">
        <v>0.3434191346168518</v>
      </c>
      <c r="K6" s="9" t="n">
        <v>0.9684327244758606</v>
      </c>
      <c r="L6" s="9" t="n">
        <v>0.6335851478793265</v>
      </c>
      <c r="M6" s="9" t="n">
        <v>0.543594514620344</v>
      </c>
      <c r="N6" s="9" t="n">
        <v>0.6259370105178355</v>
      </c>
      <c r="O6" s="8" t="n"/>
    </row>
    <row r="7" ht="20" customHeight="1">
      <c r="A7" s="10" t="inlineStr">
        <is>
          <t>K=6 attention, seed 0</t>
        </is>
      </c>
      <c r="B7" s="11" t="inlineStr">
        <is>
          <t>Seeds</t>
        </is>
      </c>
      <c r="C7" s="11" t="inlineStr">
        <is>
          <t>results/seed_sweep/mosaic_k6_seed0</t>
        </is>
      </c>
      <c r="D7" s="11" t="n">
        <v>6</v>
      </c>
      <c r="E7" s="11" t="inlineStr">
        <is>
          <t>attention</t>
        </is>
      </c>
      <c r="F7" s="11" t="n">
        <v>0</v>
      </c>
      <c r="G7" s="12" t="n">
        <v>0.2762451731150308</v>
      </c>
      <c r="H7" s="12" t="n">
        <v>0.2223281795473473</v>
      </c>
      <c r="I7" s="12" t="n">
        <v>0.1744916948140074</v>
      </c>
      <c r="J7" s="12" t="n">
        <v>0.3443661630153656</v>
      </c>
      <c r="K7" s="12" t="n">
        <v>0.9763109683990479</v>
      </c>
      <c r="L7" s="12" t="n">
        <v>0.6348195329087049</v>
      </c>
      <c r="M7" s="12" t="n">
        <v>0.5484901180739526</v>
      </c>
      <c r="N7" s="12" t="n">
        <v>0.6299462836001827</v>
      </c>
      <c r="O7" s="12" t="n">
        <v>0.6367256816465131</v>
      </c>
    </row>
    <row r="8" ht="20" customHeight="1">
      <c r="A8" s="7" t="inlineStr">
        <is>
          <t>K=6 attention, seed 20</t>
        </is>
      </c>
      <c r="B8" s="8" t="inlineStr">
        <is>
          <t>Seeds</t>
        </is>
      </c>
      <c r="C8" s="8" t="inlineStr">
        <is>
          <t>results/seed_sweep/mosaic_k6_seed20</t>
        </is>
      </c>
      <c r="D8" s="8" t="n">
        <v>6</v>
      </c>
      <c r="E8" s="8" t="inlineStr">
        <is>
          <t>attention</t>
        </is>
      </c>
      <c r="F8" s="8" t="n">
        <v>20</v>
      </c>
      <c r="G8" s="9" t="n">
        <v>0.2727217715200798</v>
      </c>
      <c r="H8" s="9" t="n">
        <v>0.2241195515360884</v>
      </c>
      <c r="I8" s="9" t="n">
        <v>0.1762040054889132</v>
      </c>
      <c r="J8" s="9" t="n">
        <v>0.3442604839801788</v>
      </c>
      <c r="K8" s="9" t="n">
        <v>0.9762163758277893</v>
      </c>
      <c r="L8" s="9" t="n">
        <v>0.6243519478595764</v>
      </c>
      <c r="M8" s="9" t="n">
        <v>0.5447773001233517</v>
      </c>
      <c r="N8" s="9" t="n">
        <v>0.6150380833770338</v>
      </c>
      <c r="O8" s="9" t="n">
        <v>0.6271341741363873</v>
      </c>
    </row>
    <row r="9" ht="20" customHeight="1">
      <c r="A9" s="10" t="inlineStr">
        <is>
          <t>K=0 target only, seed 42</t>
        </is>
      </c>
      <c r="B9" s="11" t="inlineStr">
        <is>
          <t>Ablation K</t>
        </is>
      </c>
      <c r="C9" s="11" t="inlineStr">
        <is>
          <t>results/abalation_k/k0_agg_n_a</t>
        </is>
      </c>
      <c r="D9" s="11" t="n">
        <v>0</v>
      </c>
      <c r="E9" s="11" t="inlineStr">
        <is>
          <t>none</t>
        </is>
      </c>
      <c r="F9" s="11" t="n">
        <v>42</v>
      </c>
      <c r="G9" s="12" t="n">
        <v>0.2668597787907013</v>
      </c>
      <c r="H9" s="12" t="n">
        <v>0.2119034082457623</v>
      </c>
      <c r="I9" s="11" t="n"/>
      <c r="J9" s="11" t="n"/>
      <c r="K9" s="11" t="n"/>
      <c r="L9" s="12" t="n">
        <v>0.6048486643953982</v>
      </c>
      <c r="M9" s="12" t="n">
        <v>0.5153119227556665</v>
      </c>
      <c r="N9" s="12" t="n">
        <v>0.599465416051617</v>
      </c>
      <c r="O9" s="12" t="n">
        <v>0.6184354329908801</v>
      </c>
    </row>
    <row r="10" ht="20" customHeight="1">
      <c r="A10" s="7" t="inlineStr">
        <is>
          <t>K=4 attention, seed 42</t>
        </is>
      </c>
      <c r="B10" s="8" t="inlineStr">
        <is>
          <t>Ablation K</t>
        </is>
      </c>
      <c r="C10" s="8" t="inlineStr">
        <is>
          <t>results/abalation_k/k4_agg_attention</t>
        </is>
      </c>
      <c r="D10" s="8" t="n">
        <v>4</v>
      </c>
      <c r="E10" s="8" t="inlineStr">
        <is>
          <t>attention</t>
        </is>
      </c>
      <c r="F10" s="8" t="n">
        <v>42</v>
      </c>
      <c r="G10" s="9" t="n">
        <v>0.2728437845219027</v>
      </c>
      <c r="H10" s="9" t="n">
        <v>0.2184855064079345</v>
      </c>
      <c r="I10" s="8" t="n"/>
      <c r="J10" s="8" t="n"/>
      <c r="K10" s="8" t="n"/>
      <c r="L10" s="9" t="n">
        <v>0.6284007307559374</v>
      </c>
      <c r="M10" s="9" t="n">
        <v>0.5411784713097541</v>
      </c>
      <c r="N10" s="9" t="n">
        <v>0.6216924187098866</v>
      </c>
      <c r="O10" s="9" t="n">
        <v>0.6312199491048556</v>
      </c>
    </row>
    <row r="11" ht="20" customHeight="1">
      <c r="A11" s="10" t="inlineStr">
        <is>
          <t>K=6 mean, seed 42</t>
        </is>
      </c>
      <c r="B11" s="11" t="inlineStr">
        <is>
          <t>Ablation aggregation</t>
        </is>
      </c>
      <c r="C11" s="11" t="inlineStr">
        <is>
          <t>results/ablation_agg/k6_aff_mean</t>
        </is>
      </c>
      <c r="D11" s="11" t="n">
        <v>6</v>
      </c>
      <c r="E11" s="11" t="inlineStr">
        <is>
          <t>mean</t>
        </is>
      </c>
      <c r="F11" s="11" t="n">
        <v>42</v>
      </c>
      <c r="G11" s="12" t="n">
        <v>0.2770174584623867</v>
      </c>
      <c r="H11" s="12" t="n">
        <v>0.2201664167724648</v>
      </c>
      <c r="I11" s="11" t="n"/>
      <c r="J11" s="11" t="n"/>
      <c r="K11" s="11" t="n"/>
      <c r="L11" s="12" t="n">
        <v>0.6285982323606379</v>
      </c>
      <c r="M11" s="12" t="n">
        <v>0.5426122115631147</v>
      </c>
      <c r="N11" s="12" t="n">
        <v>0.6211823851332003</v>
      </c>
      <c r="O11" s="12" t="n">
        <v>0.6387592677068584</v>
      </c>
    </row>
    <row r="13">
      <c r="A13" s="13" t="inlineStr">
        <is>
          <t>Yellow row = numbers printed in the submitted PDF (different hardware). All other rows are the A100 revision runs.</t>
        </is>
      </c>
    </row>
  </sheetData>
  <autoFilter ref="A4:O11"/>
  <mergeCells count="3">
    <mergeCell ref="A2:L2"/>
    <mergeCell ref="A13:H13"/>
    <mergeCell ref="A1:L1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R2-M3 — multi-seed (paper protocol, K=6 attention)</t>
        </is>
      </c>
    </row>
    <row r="2">
      <c r="A2" s="2" t="inlineStr">
        <is>
          <t>Each seed redraws the stratified UC7 20% / UC1 10% split and retrains Phase A+B. Do not reuse --indices_dir.</t>
        </is>
      </c>
    </row>
    <row r="4">
      <c r="A4" s="3" t="inlineStr">
        <is>
          <t>Metric</t>
        </is>
      </c>
      <c r="B4" s="3" t="inlineStr">
        <is>
          <t>Seed 0</t>
        </is>
      </c>
      <c r="C4" s="3" t="inlineStr">
        <is>
          <t>Seed 20</t>
        </is>
      </c>
      <c r="D4" s="3" t="inlineStr">
        <is>
          <t>Seed 42 (A100)</t>
        </is>
      </c>
      <c r="E4" s="3" t="inlineStr">
        <is>
          <t>Mean</t>
        </is>
      </c>
      <c r="F4" s="3" t="inlineStr">
        <is>
          <t>s.d. (n=3)</t>
        </is>
      </c>
      <c r="G4" s="3" t="inlineStr">
        <is>
          <t>Manuscript PDF</t>
        </is>
      </c>
    </row>
    <row r="5">
      <c r="A5" s="7" t="inlineStr">
        <is>
          <t>Test PCC</t>
        </is>
      </c>
      <c r="B5" s="9" t="n">
        <v>0.2223281795473473</v>
      </c>
      <c r="C5" s="9" t="n">
        <v>0.2241195515360884</v>
      </c>
      <c r="D5" s="9" t="n">
        <v>0.2219585618143456</v>
      </c>
      <c r="E5" s="14" t="n">
        <v>0.2228020976325938</v>
      </c>
      <c r="F5" s="9" t="n">
        <v>0.001155819150218697</v>
      </c>
      <c r="G5" s="9" t="n">
        <v>0.2052</v>
      </c>
    </row>
    <row r="6">
      <c r="A6" s="10" t="inlineStr">
        <is>
          <t>Val PCC</t>
        </is>
      </c>
      <c r="B6" s="12" t="n">
        <v>0.2762451731150308</v>
      </c>
      <c r="C6" s="12" t="n">
        <v>0.2727217715200798</v>
      </c>
      <c r="D6" s="12" t="n">
        <v>0.275301099443669</v>
      </c>
      <c r="E6" s="14" t="n">
        <v>0.2747560146929265</v>
      </c>
      <c r="F6" s="12" t="n">
        <v>0.001823849702948363</v>
      </c>
      <c r="G6" s="12" t="n">
        <v>0.263</v>
      </c>
    </row>
    <row r="7">
      <c r="A7" s="7" t="inlineStr">
        <is>
          <t>Test Spearman</t>
        </is>
      </c>
      <c r="B7" s="9" t="n">
        <v>0.1744916948140074</v>
      </c>
      <c r="C7" s="9" t="n">
        <v>0.1762040054889132</v>
      </c>
      <c r="D7" s="9" t="n">
        <v>0.1737878473323392</v>
      </c>
      <c r="E7" s="14" t="n">
        <v>0.1748278492117532</v>
      </c>
      <c r="F7" s="9" t="n">
        <v>0.00124266040966053</v>
      </c>
      <c r="G7" s="8" t="n"/>
    </row>
    <row r="8">
      <c r="A8" s="10" t="inlineStr">
        <is>
          <t>Test MAE (z-score)</t>
        </is>
      </c>
      <c r="B8" s="12" t="n">
        <v>0.3443661630153656</v>
      </c>
      <c r="C8" s="12" t="n">
        <v>0.3442604839801788</v>
      </c>
      <c r="D8" s="12" t="n">
        <v>0.3434191346168518</v>
      </c>
      <c r="E8" s="14" t="n">
        <v>0.3440152605374654</v>
      </c>
      <c r="F8" s="12" t="n">
        <v>0.0005189572232275669</v>
      </c>
      <c r="G8" s="11" t="n"/>
    </row>
    <row r="9">
      <c r="A9" s="7" t="inlineStr">
        <is>
          <t>Test RMSE (z-score)</t>
        </is>
      </c>
      <c r="B9" s="9" t="n">
        <v>0.9763109683990479</v>
      </c>
      <c r="C9" s="9" t="n">
        <v>0.9762163758277893</v>
      </c>
      <c r="D9" s="9" t="n">
        <v>0.9684327244758606</v>
      </c>
      <c r="E9" s="14" t="n">
        <v>0.9736533562342325</v>
      </c>
      <c r="F9" s="9" t="n">
        <v>0.004521447103088344</v>
      </c>
      <c r="G9" s="8" t="n"/>
    </row>
    <row r="10">
      <c r="A10" s="10" t="inlineStr">
        <is>
          <t>Accuracy</t>
        </is>
      </c>
      <c r="B10" s="12" t="n">
        <v>0.6348195329087049</v>
      </c>
      <c r="C10" s="12" t="n">
        <v>0.6243519478595764</v>
      </c>
      <c r="D10" s="12" t="n">
        <v>0.6335851478793265</v>
      </c>
      <c r="E10" s="14" t="n">
        <v>0.6309188762158693</v>
      </c>
      <c r="F10" s="12" t="n">
        <v>0.005720518999854901</v>
      </c>
      <c r="G10" s="12" t="n">
        <v>0.599</v>
      </c>
    </row>
    <row r="11">
      <c r="A11" s="7" t="inlineStr">
        <is>
          <t>Macro-F1</t>
        </is>
      </c>
      <c r="B11" s="9" t="n">
        <v>0.5484901180739526</v>
      </c>
      <c r="C11" s="9" t="n">
        <v>0.5447773001233517</v>
      </c>
      <c r="D11" s="9" t="n">
        <v>0.543594514620344</v>
      </c>
      <c r="E11" s="14" t="n">
        <v>0.5456206442725494</v>
      </c>
      <c r="F11" s="9" t="n">
        <v>0.002554438354949234</v>
      </c>
      <c r="G11" s="9" t="n">
        <v>0.514</v>
      </c>
    </row>
    <row r="12">
      <c r="A12" s="10" t="inlineStr">
        <is>
          <t>Weighted-F1</t>
        </is>
      </c>
      <c r="B12" s="12" t="n">
        <v>0.6299462836001827</v>
      </c>
      <c r="C12" s="12" t="n">
        <v>0.6150380833770338</v>
      </c>
      <c r="D12" s="12" t="n">
        <v>0.6259370105178355</v>
      </c>
      <c r="E12" s="14" t="n">
        <v>0.6236404591650173</v>
      </c>
      <c r="F12" s="12" t="n">
        <v>0.007714870028747869</v>
      </c>
      <c r="G12" s="12" t="n">
        <v>0.593</v>
      </c>
    </row>
    <row r="14">
      <c r="A14" s="13" t="inlineStr">
        <is>
          <t>Suggested text: mean ± s.d. over seeds 0, 20 and 42 is test PCC 0.223 ± 0.001, accuracy 0.631 ± 0.006, macro-F1 0.546 ± 0.003 (n_test = 20,253).</t>
        </is>
      </c>
    </row>
    <row r="16">
      <c r="A16" s="15" t="inlineStr">
        <is>
          <t>Chart data</t>
        </is>
      </c>
    </row>
    <row r="17">
      <c r="A17" s="3" t="inlineStr">
        <is>
          <t>Metric</t>
        </is>
      </c>
      <c r="B17" s="3" t="inlineStr">
        <is>
          <t>Seed 0</t>
        </is>
      </c>
      <c r="C17" s="3" t="inlineStr">
        <is>
          <t>Seed 20</t>
        </is>
      </c>
      <c r="D17" s="3" t="inlineStr">
        <is>
          <t>Seed 42</t>
        </is>
      </c>
    </row>
    <row r="18">
      <c r="A18" s="7" t="inlineStr">
        <is>
          <t>Test PCC</t>
        </is>
      </c>
      <c r="B18" s="9" t="n">
        <v>0.2223281795473473</v>
      </c>
      <c r="C18" s="9" t="n">
        <v>0.2241195515360884</v>
      </c>
      <c r="D18" s="9" t="n">
        <v>0.2219585618143456</v>
      </c>
    </row>
    <row r="19">
      <c r="A19" s="7" t="inlineStr">
        <is>
          <t>Accuracy</t>
        </is>
      </c>
      <c r="B19" s="9" t="n">
        <v>0.6348195329087049</v>
      </c>
      <c r="C19" s="9" t="n">
        <v>0.6243519478595764</v>
      </c>
      <c r="D19" s="9" t="n">
        <v>0.6335851478793265</v>
      </c>
    </row>
    <row r="20">
      <c r="A20" s="7" t="inlineStr">
        <is>
          <t>Macro-F1</t>
        </is>
      </c>
      <c r="B20" s="9" t="n">
        <v>0.5484901180739526</v>
      </c>
      <c r="C20" s="9" t="n">
        <v>0.5447773001233517</v>
      </c>
      <c r="D20" s="9" t="n">
        <v>0.543594514620344</v>
      </c>
    </row>
  </sheetData>
  <mergeCells count="3">
    <mergeCell ref="A2:F2"/>
    <mergeCell ref="A14:G14"/>
    <mergeCell ref="A1:F1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R2-M2 / R2-m3 — neighbourhood size and aggregation (same seed-42 cells)</t>
        </is>
      </c>
    </row>
    <row r="2">
      <c r="A2" s="2" t="inlineStr">
        <is>
          <t>K=0, K=4 and K=6 mean used --indices_dir results/mosaic_k6_seed42. K=8 was not run.</t>
        </is>
      </c>
    </row>
    <row r="4">
      <c r="A4" s="3" t="inlineStr">
        <is>
          <t>Metric</t>
        </is>
      </c>
      <c r="B4" s="3" t="inlineStr">
        <is>
          <t>K=0 (target only)</t>
        </is>
      </c>
      <c r="C4" s="3" t="inlineStr">
        <is>
          <t>K=4 attention</t>
        </is>
      </c>
      <c r="D4" s="3" t="inlineStr">
        <is>
          <t>K=6 mean</t>
        </is>
      </c>
      <c r="E4" s="3" t="inlineStr">
        <is>
          <t>K=6 attention</t>
        </is>
      </c>
      <c r="F4" s="3" t="inlineStr">
        <is>
          <t>Attn − K=0</t>
        </is>
      </c>
      <c r="G4" s="3" t="inlineStr">
        <is>
          <t>Attn − mean</t>
        </is>
      </c>
    </row>
    <row r="5">
      <c r="A5" s="7" t="inlineStr">
        <is>
          <t>Test PCC</t>
        </is>
      </c>
      <c r="B5" s="9" t="n">
        <v>0.2119034082457623</v>
      </c>
      <c r="C5" s="9" t="n">
        <v>0.2184855064079345</v>
      </c>
      <c r="D5" s="9" t="n">
        <v>0.2201664167724648</v>
      </c>
      <c r="E5" s="14" t="n">
        <v>0.2219585618143456</v>
      </c>
      <c r="F5" s="16" t="n">
        <v>0.0100551535685833</v>
      </c>
      <c r="G5" s="16" t="n">
        <v>0.001792145041880744</v>
      </c>
    </row>
    <row r="6">
      <c r="A6" s="10" t="inlineStr">
        <is>
          <t>Val PCC</t>
        </is>
      </c>
      <c r="B6" s="12" t="n">
        <v>0.2668597787907013</v>
      </c>
      <c r="C6" s="12" t="n">
        <v>0.2728437845219027</v>
      </c>
      <c r="D6" s="12" t="n">
        <v>0.2770174584623867</v>
      </c>
      <c r="E6" s="14" t="n">
        <v>0.275301099443669</v>
      </c>
      <c r="F6" s="17" t="n">
        <v>0.00844132065296771</v>
      </c>
      <c r="G6" s="17" t="n">
        <v>-0.00171635901871775</v>
      </c>
    </row>
    <row r="7">
      <c r="A7" s="7" t="inlineStr">
        <is>
          <t>Accuracy</t>
        </is>
      </c>
      <c r="B7" s="9" t="n">
        <v>0.6048486643953982</v>
      </c>
      <c r="C7" s="9" t="n">
        <v>0.6284007307559374</v>
      </c>
      <c r="D7" s="9" t="n">
        <v>0.6285982323606379</v>
      </c>
      <c r="E7" s="14" t="n">
        <v>0.6335851478793265</v>
      </c>
      <c r="F7" s="16" t="n">
        <v>0.02873648348392832</v>
      </c>
      <c r="G7" s="16" t="n">
        <v>0.004986915518688573</v>
      </c>
    </row>
    <row r="8">
      <c r="A8" s="10" t="inlineStr">
        <is>
          <t>Macro-F1</t>
        </is>
      </c>
      <c r="B8" s="12" t="n">
        <v>0.5153119227556665</v>
      </c>
      <c r="C8" s="12" t="n">
        <v>0.5411784713097541</v>
      </c>
      <c r="D8" s="12" t="n">
        <v>0.5426122115631147</v>
      </c>
      <c r="E8" s="14" t="n">
        <v>0.543594514620344</v>
      </c>
      <c r="F8" s="17" t="n">
        <v>0.02828259186467752</v>
      </c>
      <c r="G8" s="17" t="n">
        <v>0.0009823030572293501</v>
      </c>
    </row>
    <row r="9">
      <c r="A9" s="7" t="inlineStr">
        <is>
          <t>Weighted-F1</t>
        </is>
      </c>
      <c r="B9" s="9" t="n">
        <v>0.599465416051617</v>
      </c>
      <c r="C9" s="9" t="n">
        <v>0.6216924187098866</v>
      </c>
      <c r="D9" s="9" t="n">
        <v>0.6211823851332003</v>
      </c>
      <c r="E9" s="14" t="n">
        <v>0.6259370105178355</v>
      </c>
      <c r="F9" s="16" t="n">
        <v>0.0264715944662185</v>
      </c>
      <c r="G9" s="16" t="n">
        <v>0.004754625384635114</v>
      </c>
    </row>
    <row r="11" ht="32" customHeight="1">
      <c r="A11" s="13" t="inlineStr">
        <is>
          <t>Reading: neighbours matter (K=0 → K=6 attention: +0.010 PCC, +2.9 pp accuracy). Softmax vs mean at K=6 is small (+0.002 PCC, +0.5 pp). After K=4 the curve plateaus. Keep attention as the pre-specified default.</t>
        </is>
      </c>
    </row>
    <row r="13">
      <c r="A13" s="15" t="inlineStr">
        <is>
          <t>Chart data</t>
        </is>
      </c>
    </row>
    <row r="14">
      <c r="A14" s="3" t="inlineStr">
        <is>
          <t>Metric</t>
        </is>
      </c>
      <c r="B14" s="3" t="inlineStr">
        <is>
          <t>K=0</t>
        </is>
      </c>
      <c r="C14" s="3" t="inlineStr">
        <is>
          <t>K=4 attn</t>
        </is>
      </c>
      <c r="D14" s="3" t="inlineStr">
        <is>
          <t>K=6 mean</t>
        </is>
      </c>
      <c r="E14" s="3" t="inlineStr">
        <is>
          <t>K=6 attn</t>
        </is>
      </c>
    </row>
    <row r="15">
      <c r="A15" s="7" t="inlineStr">
        <is>
          <t>Test PCC</t>
        </is>
      </c>
      <c r="B15" s="9" t="n">
        <v>0.2119034082457623</v>
      </c>
      <c r="C15" s="9" t="n">
        <v>0.2184855064079345</v>
      </c>
      <c r="D15" s="9" t="n">
        <v>0.2201664167724648</v>
      </c>
      <c r="E15" s="9" t="n">
        <v>0.2219585618143456</v>
      </c>
    </row>
    <row r="16">
      <c r="A16" s="7" t="inlineStr">
        <is>
          <t>Val PCC</t>
        </is>
      </c>
      <c r="B16" s="9" t="n">
        <v>0.2668597787907013</v>
      </c>
      <c r="C16" s="9" t="n">
        <v>0.2728437845219027</v>
      </c>
      <c r="D16" s="9" t="n">
        <v>0.2770174584623867</v>
      </c>
      <c r="E16" s="9" t="n">
        <v>0.275301099443669</v>
      </c>
    </row>
    <row r="17">
      <c r="A17" s="7" t="inlineStr">
        <is>
          <t>Accuracy</t>
        </is>
      </c>
      <c r="B17" s="9" t="n">
        <v>0.6048486643953982</v>
      </c>
      <c r="C17" s="9" t="n">
        <v>0.6284007307559374</v>
      </c>
      <c r="D17" s="9" t="n">
        <v>0.6285982323606379</v>
      </c>
      <c r="E17" s="9" t="n">
        <v>0.6335851478793265</v>
      </c>
    </row>
    <row r="18">
      <c r="A18" s="7" t="inlineStr">
        <is>
          <t>Macro-F1</t>
        </is>
      </c>
      <c r="B18" s="9" t="n">
        <v>0.5153119227556665</v>
      </c>
      <c r="C18" s="9" t="n">
        <v>0.5411784713097541</v>
      </c>
      <c r="D18" s="9" t="n">
        <v>0.5426122115631147</v>
      </c>
      <c r="E18" s="9" t="n">
        <v>0.543594514620344</v>
      </c>
    </row>
    <row r="19">
      <c r="A19" s="7" t="inlineStr">
        <is>
          <t>Weighted-F1</t>
        </is>
      </c>
      <c r="B19" s="9" t="n">
        <v>0.599465416051617</v>
      </c>
      <c r="C19" s="9" t="n">
        <v>0.6216924187098866</v>
      </c>
      <c r="D19" s="9" t="n">
        <v>0.6211823851332003</v>
      </c>
      <c r="E19" s="9" t="n">
        <v>0.6259370105178355</v>
      </c>
    </row>
  </sheetData>
  <mergeCells count="3">
    <mergeCell ref="A2:F2"/>
    <mergeCell ref="A11:G11"/>
    <mergeCell ref="A1:F1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45911"/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R2-M4 — Phase A expression metrics (z-scored targets, same space as the MSE)</t>
        </is>
      </c>
    </row>
    <row r="2">
      <c r="A2" s="2" t="inlineStr">
        <is>
          <t>From scripts/expression_metrics.py. MAE/RMSE are on per-gene z-scores, not raw counts. Only runs with saved predictions have Spearman/MAE/RMSE.</t>
        </is>
      </c>
    </row>
    <row r="4">
      <c r="A4" s="3" t="inlineStr">
        <is>
          <t>Run</t>
        </is>
      </c>
      <c r="B4" s="3" t="inlineStr">
        <is>
          <t>Split</t>
        </is>
      </c>
      <c r="C4" s="3" t="inlineStr">
        <is>
          <t>Slide</t>
        </is>
      </c>
      <c r="D4" s="3" t="inlineStr">
        <is>
          <t>n cells</t>
        </is>
      </c>
      <c r="E4" s="3" t="inlineStr">
        <is>
          <t>n genes</t>
        </is>
      </c>
      <c r="F4" s="3" t="inlineStr">
        <is>
          <t>Mean PCC</t>
        </is>
      </c>
      <c r="G4" s="3" t="inlineStr">
        <is>
          <t>Median PCC</t>
        </is>
      </c>
      <c r="H4" s="3" t="inlineStr">
        <is>
          <t>Mean Spearman</t>
        </is>
      </c>
      <c r="I4" s="3" t="inlineStr">
        <is>
          <t>Median Spearman</t>
        </is>
      </c>
      <c r="J4" s="3" t="inlineStr">
        <is>
          <t>MAE</t>
        </is>
      </c>
      <c r="K4" s="3" t="inlineStr">
        <is>
          <t>RMSE</t>
        </is>
      </c>
    </row>
    <row r="5">
      <c r="A5" s="7" t="inlineStr">
        <is>
          <t>K=6 attention, seed 42</t>
        </is>
      </c>
      <c r="B5" s="8" t="inlineStr">
        <is>
          <t>val</t>
        </is>
      </c>
      <c r="C5" s="8" t="inlineStr">
        <is>
          <t>UC7</t>
        </is>
      </c>
      <c r="D5" s="8" t="n">
        <v>28941</v>
      </c>
      <c r="E5" s="8" t="n">
        <v>460</v>
      </c>
      <c r="F5" s="9" t="n">
        <v>0.275301099443669</v>
      </c>
      <c r="G5" s="9" t="n">
        <v>0.2438450241412026</v>
      </c>
      <c r="H5" s="9" t="n">
        <v>0.2058809921628774</v>
      </c>
      <c r="I5" s="9" t="n">
        <v>0.1796133794924627</v>
      </c>
      <c r="J5" s="9" t="n">
        <v>0.3096573054790497</v>
      </c>
      <c r="K5" s="9" t="n">
        <v>0.9481773376464844</v>
      </c>
    </row>
    <row r="6">
      <c r="A6" s="10" t="inlineStr">
        <is>
          <t>K=6 attention, seed 42</t>
        </is>
      </c>
      <c r="B6" s="11" t="inlineStr">
        <is>
          <t>test</t>
        </is>
      </c>
      <c r="C6" s="11" t="inlineStr">
        <is>
          <t>UC1</t>
        </is>
      </c>
      <c r="D6" s="11" t="n">
        <v>20253</v>
      </c>
      <c r="E6" s="11" t="n">
        <v>460</v>
      </c>
      <c r="F6" s="18" t="n">
        <v>0.2219585618143456</v>
      </c>
      <c r="G6" s="12" t="n">
        <v>0.2011358112036706</v>
      </c>
      <c r="H6" s="12" t="n">
        <v>0.1737878473323392</v>
      </c>
      <c r="I6" s="12" t="n">
        <v>0.1549706494388102</v>
      </c>
      <c r="J6" s="12" t="n">
        <v>0.3434191346168518</v>
      </c>
      <c r="K6" s="12" t="n">
        <v>0.9684327244758606</v>
      </c>
    </row>
    <row r="7">
      <c r="A7" s="7" t="inlineStr">
        <is>
          <t>K=6 attention, seed 0</t>
        </is>
      </c>
      <c r="B7" s="8" t="inlineStr">
        <is>
          <t>val</t>
        </is>
      </c>
      <c r="C7" s="8" t="inlineStr">
        <is>
          <t>UC7</t>
        </is>
      </c>
      <c r="D7" s="8" t="n">
        <v>28941</v>
      </c>
      <c r="E7" s="8" t="n">
        <v>460</v>
      </c>
      <c r="F7" s="9" t="n">
        <v>0.2762451731150308</v>
      </c>
      <c r="G7" s="9" t="n">
        <v>0.2456353659592617</v>
      </c>
      <c r="H7" s="9" t="n">
        <v>0.2061588501073897</v>
      </c>
      <c r="I7" s="9" t="n">
        <v>0.1790993336684498</v>
      </c>
      <c r="J7" s="9" t="n">
        <v>0.3105749785900116</v>
      </c>
      <c r="K7" s="9" t="n">
        <v>0.9573982357978821</v>
      </c>
    </row>
    <row r="8">
      <c r="A8" s="10" t="inlineStr">
        <is>
          <t>K=6 attention, seed 0</t>
        </is>
      </c>
      <c r="B8" s="11" t="inlineStr">
        <is>
          <t>test</t>
        </is>
      </c>
      <c r="C8" s="11" t="inlineStr">
        <is>
          <t>UC1</t>
        </is>
      </c>
      <c r="D8" s="11" t="n">
        <v>20253</v>
      </c>
      <c r="E8" s="11" t="n">
        <v>460</v>
      </c>
      <c r="F8" s="18" t="n">
        <v>0.2223281795473473</v>
      </c>
      <c r="G8" s="12" t="n">
        <v>0.1967811352134971</v>
      </c>
      <c r="H8" s="12" t="n">
        <v>0.1744916948140074</v>
      </c>
      <c r="I8" s="12" t="n">
        <v>0.1581100435841405</v>
      </c>
      <c r="J8" s="12" t="n">
        <v>0.3443661630153656</v>
      </c>
      <c r="K8" s="12" t="n">
        <v>0.9763109683990479</v>
      </c>
    </row>
    <row r="9">
      <c r="A9" s="7" t="inlineStr">
        <is>
          <t>K=6 attention, seed 20</t>
        </is>
      </c>
      <c r="B9" s="8" t="inlineStr">
        <is>
          <t>val</t>
        </is>
      </c>
      <c r="C9" s="8" t="inlineStr">
        <is>
          <t>UC7</t>
        </is>
      </c>
      <c r="D9" s="8" t="n">
        <v>28941</v>
      </c>
      <c r="E9" s="8" t="n">
        <v>460</v>
      </c>
      <c r="F9" s="9" t="n">
        <v>0.2727217715200798</v>
      </c>
      <c r="G9" s="9" t="n">
        <v>0.2434800518555796</v>
      </c>
      <c r="H9" s="9" t="n">
        <v>0.2047793234511054</v>
      </c>
      <c r="I9" s="9" t="n">
        <v>0.1777876679078271</v>
      </c>
      <c r="J9" s="9" t="n">
        <v>0.3112627863883972</v>
      </c>
      <c r="K9" s="9" t="n">
        <v>0.9499775171279907</v>
      </c>
    </row>
    <row r="10">
      <c r="A10" s="10" t="inlineStr">
        <is>
          <t>K=6 attention, seed 20</t>
        </is>
      </c>
      <c r="B10" s="11" t="inlineStr">
        <is>
          <t>test</t>
        </is>
      </c>
      <c r="C10" s="11" t="inlineStr">
        <is>
          <t>UC1</t>
        </is>
      </c>
      <c r="D10" s="11" t="n">
        <v>20253</v>
      </c>
      <c r="E10" s="11" t="n">
        <v>460</v>
      </c>
      <c r="F10" s="18" t="n">
        <v>0.2241195515360884</v>
      </c>
      <c r="G10" s="12" t="n">
        <v>0.2041383999248834</v>
      </c>
      <c r="H10" s="12" t="n">
        <v>0.1762040054889132</v>
      </c>
      <c r="I10" s="12" t="n">
        <v>0.1596869778348125</v>
      </c>
      <c r="J10" s="12" t="n">
        <v>0.3442604839801788</v>
      </c>
      <c r="K10" s="12" t="n">
        <v>0.9762163758277893</v>
      </c>
    </row>
    <row r="12">
      <c r="A12" s="13" t="inlineStr">
        <is>
          <t>K=0 / K=4 / K=6 mean do not have expression_metrics.csv in the local copy (predictions were not copied). Headline PCC for those runs is still in Resumo (from results.csv).</t>
        </is>
      </c>
    </row>
  </sheetData>
  <mergeCells count="3">
    <mergeCell ref="A1:I1"/>
    <mergeCell ref="A12:K12"/>
    <mergeCell ref="A2:I2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I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Phase B — per-class precision / recall / F1 on UC1 test (n = 20,253)</t>
        </is>
      </c>
    </row>
    <row r="2">
      <c r="A2" s="2" t="inlineStr">
        <is>
          <t>R3-01: lymphatic endothelial cells have low precision AND low recall in every run (n = 161).</t>
        </is>
      </c>
    </row>
    <row r="4">
      <c r="A4" s="3" t="inlineStr">
        <is>
          <t>Class</t>
        </is>
      </c>
      <c r="B4" s="3" t="inlineStr">
        <is>
          <t>Support</t>
        </is>
      </c>
      <c r="C4" s="3" t="inlineStr">
        <is>
          <t>Metric</t>
        </is>
      </c>
      <c r="D4" s="3" t="inlineStr">
        <is>
          <t>K=6 attn seed 42</t>
        </is>
      </c>
      <c r="E4" s="3" t="inlineStr">
        <is>
          <t>K=6 attn seed 0</t>
        </is>
      </c>
      <c r="F4" s="3" t="inlineStr">
        <is>
          <t>K=6 attn seed 20</t>
        </is>
      </c>
      <c r="G4" s="3" t="inlineStr">
        <is>
          <t>K=0</t>
        </is>
      </c>
      <c r="H4" s="3" t="inlineStr">
        <is>
          <t>K=4 attn</t>
        </is>
      </c>
      <c r="I4" s="3" t="inlineStr">
        <is>
          <t>K=6 mean</t>
        </is>
      </c>
    </row>
    <row r="5">
      <c r="A5" s="7" t="inlineStr">
        <is>
          <t>B cells</t>
        </is>
      </c>
      <c r="B5" s="8" t="n">
        <v>2915</v>
      </c>
      <c r="C5" s="8" t="inlineStr">
        <is>
          <t>Precision</t>
        </is>
      </c>
      <c r="D5" s="9" t="n">
        <v>0.516330451488953</v>
      </c>
      <c r="E5" s="9" t="n">
        <v>0.5452626022697281</v>
      </c>
      <c r="F5" s="9" t="n">
        <v>0.4958640733288621</v>
      </c>
      <c r="G5" s="9" t="n">
        <v>0.4857471264367816</v>
      </c>
      <c r="H5" s="9" t="n">
        <v>0.4954850659874971</v>
      </c>
      <c r="I5" s="9" t="n">
        <v>0.4971896955503513</v>
      </c>
    </row>
    <row r="6">
      <c r="A6" s="7" t="inlineStr"/>
      <c r="B6" s="8" t="inlineStr"/>
      <c r="C6" s="8" t="inlineStr">
        <is>
          <t>Recall</t>
        </is>
      </c>
      <c r="D6" s="9" t="n">
        <v>0.7375643224699828</v>
      </c>
      <c r="E6" s="9" t="n">
        <v>0.7087478559176672</v>
      </c>
      <c r="F6" s="9" t="n">
        <v>0.7608919382504288</v>
      </c>
      <c r="G6" s="9" t="n">
        <v>0.7248713550600343</v>
      </c>
      <c r="H6" s="9" t="n">
        <v>0.7341337907375644</v>
      </c>
      <c r="I6" s="9" t="n">
        <v>0.7283018867924528</v>
      </c>
    </row>
    <row r="7">
      <c r="A7" s="7" t="inlineStr"/>
      <c r="B7" s="8" t="inlineStr"/>
      <c r="C7" s="8" t="inlineStr">
        <is>
          <t>F1</t>
        </is>
      </c>
      <c r="D7" s="9" t="n">
        <v>0.6074304280265574</v>
      </c>
      <c r="E7" s="9" t="n">
        <v>0.6163484486873508</v>
      </c>
      <c r="F7" s="9" t="n">
        <v>0.6004331348132106</v>
      </c>
      <c r="G7" s="9" t="n">
        <v>0.5816930488644184</v>
      </c>
      <c r="H7" s="9" t="n">
        <v>0.5916505391208183</v>
      </c>
      <c r="I7" s="9" t="n">
        <v>0.5909533750869868</v>
      </c>
    </row>
    <row r="8">
      <c r="A8" s="10" t="inlineStr">
        <is>
          <t>Endothelial</t>
        </is>
      </c>
      <c r="B8" s="11" t="n">
        <v>1517</v>
      </c>
      <c r="C8" s="11" t="inlineStr">
        <is>
          <t>Precision</t>
        </is>
      </c>
      <c r="D8" s="12" t="n">
        <v>0.4647505422993493</v>
      </c>
      <c r="E8" s="12" t="n">
        <v>0.4331328088847756</v>
      </c>
      <c r="F8" s="12" t="n">
        <v>0.4585926280516994</v>
      </c>
      <c r="G8" s="12" t="n">
        <v>0.3748245203556387</v>
      </c>
      <c r="H8" s="12" t="n">
        <v>0.4888613861386139</v>
      </c>
      <c r="I8" s="12" t="n">
        <v>0.5040803515379787</v>
      </c>
    </row>
    <row r="9">
      <c r="A9" s="10" t="inlineStr"/>
      <c r="B9" s="11" t="inlineStr"/>
      <c r="C9" s="11" t="inlineStr">
        <is>
          <t>Recall</t>
        </is>
      </c>
      <c r="D9" s="12" t="n">
        <v>0.5649307844429796</v>
      </c>
      <c r="E9" s="12" t="n">
        <v>0.6170072511535926</v>
      </c>
      <c r="F9" s="12" t="n">
        <v>0.6315095583388266</v>
      </c>
      <c r="G9" s="12" t="n">
        <v>0.5280158206987475</v>
      </c>
      <c r="H9" s="12" t="n">
        <v>0.5207646671061306</v>
      </c>
      <c r="I9" s="12" t="n">
        <v>0.5293342122610415</v>
      </c>
    </row>
    <row r="10">
      <c r="A10" s="10" t="inlineStr"/>
      <c r="B10" s="11" t="inlineStr"/>
      <c r="C10" s="11" t="inlineStr">
        <is>
          <t>F1</t>
        </is>
      </c>
      <c r="D10" s="12" t="n">
        <v>0.5099672716453436</v>
      </c>
      <c r="E10" s="12" t="n">
        <v>0.5089722675367048</v>
      </c>
      <c r="F10" s="12" t="n">
        <v>0.5313366611203549</v>
      </c>
      <c r="G10" s="12" t="n">
        <v>0.4384236453201971</v>
      </c>
      <c r="H10" s="12" t="n">
        <v>0.5043089690392595</v>
      </c>
      <c r="I10" s="12" t="n">
        <v>0.5163987138263666</v>
      </c>
    </row>
    <row r="11">
      <c r="A11" s="7" t="inlineStr">
        <is>
          <t>Epithelial</t>
        </is>
      </c>
      <c r="B11" s="8" t="n">
        <v>1138</v>
      </c>
      <c r="C11" s="8" t="inlineStr">
        <is>
          <t>Precision</t>
        </is>
      </c>
      <c r="D11" s="9" t="n">
        <v>0.8060897435897436</v>
      </c>
      <c r="E11" s="9" t="n">
        <v>0.8565217391304348</v>
      </c>
      <c r="F11" s="9" t="n">
        <v>0.8453177257525084</v>
      </c>
      <c r="G11" s="9" t="n">
        <v>0.7473841554559043</v>
      </c>
      <c r="H11" s="9" t="n">
        <v>0.8423728813559322</v>
      </c>
      <c r="I11" s="9" t="n">
        <v>0.8502581755593803</v>
      </c>
    </row>
    <row r="12">
      <c r="A12" s="7" t="inlineStr"/>
      <c r="B12" s="8" t="inlineStr"/>
      <c r="C12" s="8" t="inlineStr">
        <is>
          <t>Recall</t>
        </is>
      </c>
      <c r="D12" s="9" t="n">
        <v>0.8840070298769771</v>
      </c>
      <c r="E12" s="9" t="n">
        <v>0.8655536028119508</v>
      </c>
      <c r="F12" s="9" t="n">
        <v>0.8884007029876977</v>
      </c>
      <c r="G12" s="9" t="n">
        <v>0.8787346221441125</v>
      </c>
      <c r="H12" s="9" t="n">
        <v>0.8734622144112478</v>
      </c>
      <c r="I12" s="9" t="n">
        <v>0.8681898066783831</v>
      </c>
    </row>
    <row r="13">
      <c r="A13" s="7" t="inlineStr"/>
      <c r="B13" s="8" t="inlineStr"/>
      <c r="C13" s="8" t="inlineStr">
        <is>
          <t>F1</t>
        </is>
      </c>
      <c r="D13" s="9" t="n">
        <v>0.8432523051131601</v>
      </c>
      <c r="E13" s="9" t="n">
        <v>0.861013986013986</v>
      </c>
      <c r="F13" s="9" t="n">
        <v>0.8663239074550129</v>
      </c>
      <c r="G13" s="9" t="n">
        <v>0.8077544426494345</v>
      </c>
      <c r="H13" s="9" t="n">
        <v>0.8576358930112166</v>
      </c>
      <c r="I13" s="9" t="n">
        <v>0.8591304347826086</v>
      </c>
    </row>
    <row r="14">
      <c r="A14" s="10" t="inlineStr">
        <is>
          <t>Fibroblasts</t>
        </is>
      </c>
      <c r="B14" s="11" t="n">
        <v>2659</v>
      </c>
      <c r="C14" s="11" t="inlineStr">
        <is>
          <t>Precision</t>
        </is>
      </c>
      <c r="D14" s="12" t="n">
        <v>0.4957789716039908</v>
      </c>
      <c r="E14" s="12" t="n">
        <v>0.513232104121475</v>
      </c>
      <c r="F14" s="12" t="n">
        <v>0.4907904834996163</v>
      </c>
      <c r="G14" s="12" t="n">
        <v>0.5078447563996696</v>
      </c>
      <c r="H14" s="12" t="n">
        <v>0.4962642548171451</v>
      </c>
      <c r="I14" s="12" t="n">
        <v>0.4715079916608756</v>
      </c>
    </row>
    <row r="15">
      <c r="A15" s="10" t="inlineStr"/>
      <c r="B15" s="11" t="inlineStr"/>
      <c r="C15" s="11" t="inlineStr">
        <is>
          <t>Recall</t>
        </is>
      </c>
      <c r="D15" s="12" t="n">
        <v>0.4858969537420083</v>
      </c>
      <c r="E15" s="12" t="n">
        <v>0.4449040992854457</v>
      </c>
      <c r="F15" s="12" t="n">
        <v>0.4810078977059045</v>
      </c>
      <c r="G15" s="12" t="n">
        <v>0.4625799172621286</v>
      </c>
      <c r="H15" s="12" t="n">
        <v>0.4746145167356149</v>
      </c>
      <c r="I15" s="12" t="n">
        <v>0.5103422339225273</v>
      </c>
    </row>
    <row r="16">
      <c r="A16" s="10" t="inlineStr"/>
      <c r="B16" s="11" t="inlineStr"/>
      <c r="C16" s="11" t="inlineStr">
        <is>
          <t>F1</t>
        </is>
      </c>
      <c r="D16" s="12" t="n">
        <v>0.4907882241215575</v>
      </c>
      <c r="E16" s="12" t="n">
        <v>0.4766317485898469</v>
      </c>
      <c r="F16" s="12" t="n">
        <v>0.4858499525166192</v>
      </c>
      <c r="G16" s="12" t="n">
        <v>0.4841566620743948</v>
      </c>
      <c r="H16" s="12" t="n">
        <v>0.485198000768935</v>
      </c>
      <c r="I16" s="12" t="n">
        <v>0.4901571247968214</v>
      </c>
    </row>
    <row r="17">
      <c r="A17" s="7" t="inlineStr">
        <is>
          <t>Glia</t>
        </is>
      </c>
      <c r="B17" s="8" t="n">
        <v>497</v>
      </c>
      <c r="C17" s="8" t="inlineStr">
        <is>
          <t>Precision</t>
        </is>
      </c>
      <c r="D17" s="9" t="n">
        <v>0.4045801526717557</v>
      </c>
      <c r="E17" s="9" t="n">
        <v>0.4719471947194719</v>
      </c>
      <c r="F17" s="9" t="n">
        <v>0.4044943820224719</v>
      </c>
      <c r="G17" s="9" t="n">
        <v>0.3608815426997245</v>
      </c>
      <c r="H17" s="9" t="n">
        <v>0.4139784946236559</v>
      </c>
      <c r="I17" s="9" t="n">
        <v>0.3994708994708995</v>
      </c>
    </row>
    <row r="18">
      <c r="A18" s="7" t="inlineStr"/>
      <c r="B18" s="8" t="inlineStr"/>
      <c r="C18" s="8" t="inlineStr">
        <is>
          <t>Recall</t>
        </is>
      </c>
      <c r="D18" s="9" t="n">
        <v>0.3199195171026157</v>
      </c>
      <c r="E18" s="9" t="n">
        <v>0.2877263581488934</v>
      </c>
      <c r="F18" s="9" t="n">
        <v>0.289738430583501</v>
      </c>
      <c r="G18" s="9" t="n">
        <v>0.2635814889336016</v>
      </c>
      <c r="H18" s="9" t="n">
        <v>0.3098591549295774</v>
      </c>
      <c r="I18" s="9" t="n">
        <v>0.3038229376257545</v>
      </c>
    </row>
    <row r="19">
      <c r="A19" s="7" t="inlineStr"/>
      <c r="B19" s="8" t="inlineStr"/>
      <c r="C19" s="8" t="inlineStr">
        <is>
          <t>F1</t>
        </is>
      </c>
      <c r="D19" s="9" t="n">
        <v>0.3573033707865169</v>
      </c>
      <c r="E19" s="9" t="n">
        <v>0.3575</v>
      </c>
      <c r="F19" s="9" t="n">
        <v>0.3376318874560375</v>
      </c>
      <c r="G19" s="9" t="n">
        <v>0.3046511627906976</v>
      </c>
      <c r="H19" s="9" t="n">
        <v>0.3544303797468354</v>
      </c>
      <c r="I19" s="9" t="n">
        <v>0.3451428571428571</v>
      </c>
    </row>
    <row r="20">
      <c r="A20" s="4" t="inlineStr">
        <is>
          <t>Lymphatic endothelial</t>
        </is>
      </c>
      <c r="B20" s="5" t="n">
        <v>161</v>
      </c>
      <c r="C20" s="5" t="inlineStr">
        <is>
          <t>Precision</t>
        </is>
      </c>
      <c r="D20" s="6" t="n">
        <v>0.1805555555555556</v>
      </c>
      <c r="E20" s="6" t="n">
        <v>0.1829268292682927</v>
      </c>
      <c r="F20" s="6" t="n">
        <v>0.2272727272727273</v>
      </c>
      <c r="G20" s="6" t="n">
        <v>0.1630434782608696</v>
      </c>
      <c r="H20" s="6" t="n">
        <v>0.1666666666666667</v>
      </c>
      <c r="I20" s="6" t="n">
        <v>0.2027027027027027</v>
      </c>
    </row>
    <row r="21">
      <c r="A21" s="4" t="inlineStr"/>
      <c r="B21" s="5" t="inlineStr"/>
      <c r="C21" s="5" t="inlineStr">
        <is>
          <t>Recall</t>
        </is>
      </c>
      <c r="D21" s="6" t="n">
        <v>0.08074534161490683</v>
      </c>
      <c r="E21" s="6" t="n">
        <v>0.09316770186335403</v>
      </c>
      <c r="F21" s="6" t="n">
        <v>0.15527950310559</v>
      </c>
      <c r="G21" s="6" t="n">
        <v>0.09316770186335403</v>
      </c>
      <c r="H21" s="6" t="n">
        <v>0.08695652173913043</v>
      </c>
      <c r="I21" s="6" t="n">
        <v>0.09316770186335403</v>
      </c>
    </row>
    <row r="22">
      <c r="A22" s="4" t="inlineStr"/>
      <c r="B22" s="5" t="inlineStr"/>
      <c r="C22" s="5" t="inlineStr">
        <is>
          <t>F1</t>
        </is>
      </c>
      <c r="D22" s="6" t="n">
        <v>0.111587982832618</v>
      </c>
      <c r="E22" s="6" t="n">
        <v>0.1234567901234568</v>
      </c>
      <c r="F22" s="6" t="n">
        <v>0.1845018450184502</v>
      </c>
      <c r="G22" s="6" t="n">
        <v>0.1185770750988142</v>
      </c>
      <c r="H22" s="6" t="n">
        <v>0.1142857142857143</v>
      </c>
      <c r="I22" s="6" t="n">
        <v>0.1276595744680851</v>
      </c>
    </row>
    <row r="23">
      <c r="A23" s="7" t="inlineStr">
        <is>
          <t>Myeloid</t>
        </is>
      </c>
      <c r="B23" s="8" t="n">
        <v>4523</v>
      </c>
      <c r="C23" s="8" t="inlineStr">
        <is>
          <t>Precision</t>
        </is>
      </c>
      <c r="D23" s="9" t="n">
        <v>0.6417759838546923</v>
      </c>
      <c r="E23" s="9" t="n">
        <v>0.6044924651691783</v>
      </c>
      <c r="F23" s="9" t="n">
        <v>0.6483679525222552</v>
      </c>
      <c r="G23" s="9" t="n">
        <v>0.6151006711409396</v>
      </c>
      <c r="H23" s="9" t="n">
        <v>0.5990881458966565</v>
      </c>
      <c r="I23" s="9" t="n">
        <v>0.623943185661143</v>
      </c>
    </row>
    <row r="24">
      <c r="A24" s="7" t="inlineStr"/>
      <c r="B24" s="8" t="inlineStr"/>
      <c r="C24" s="8" t="inlineStr">
        <is>
          <t>Recall</t>
        </is>
      </c>
      <c r="D24" s="9" t="n">
        <v>0.4218439089100155</v>
      </c>
      <c r="E24" s="9" t="n">
        <v>0.4700420075171347</v>
      </c>
      <c r="F24" s="9" t="n">
        <v>0.3864691576387353</v>
      </c>
      <c r="G24" s="9" t="n">
        <v>0.4052619942516029</v>
      </c>
      <c r="H24" s="9" t="n">
        <v>0.435772717223082</v>
      </c>
      <c r="I24" s="9" t="n">
        <v>0.4079151005969489</v>
      </c>
    </row>
    <row r="25">
      <c r="A25" s="7" t="inlineStr"/>
      <c r="B25" s="8" t="inlineStr"/>
      <c r="C25" s="8" t="inlineStr">
        <is>
          <t>F1</t>
        </is>
      </c>
      <c r="D25" s="9" t="n">
        <v>0.5090715048025614</v>
      </c>
      <c r="E25" s="9" t="n">
        <v>0.5288557213930348</v>
      </c>
      <c r="F25" s="9" t="n">
        <v>0.4842776007757307</v>
      </c>
      <c r="G25" s="9" t="n">
        <v>0.4886045581767293</v>
      </c>
      <c r="H25" s="9" t="n">
        <v>0.504543709202611</v>
      </c>
      <c r="I25" s="9" t="n">
        <v>0.4933155080213903</v>
      </c>
    </row>
    <row r="26">
      <c r="A26" s="10" t="inlineStr">
        <is>
          <t>T cells</t>
        </is>
      </c>
      <c r="B26" s="11" t="n">
        <v>2342</v>
      </c>
      <c r="C26" s="11" t="inlineStr">
        <is>
          <t>Precision</t>
        </is>
      </c>
      <c r="D26" s="12" t="n">
        <v>0.5834862385321101</v>
      </c>
      <c r="E26" s="12" t="n">
        <v>0.5753779697624191</v>
      </c>
      <c r="F26" s="12" t="n">
        <v>0.5785900783289817</v>
      </c>
      <c r="G26" s="12" t="n">
        <v>0.5849802371541502</v>
      </c>
      <c r="H26" s="12" t="n">
        <v>0.5903041825095057</v>
      </c>
      <c r="I26" s="12" t="n">
        <v>0.5837610825944937</v>
      </c>
    </row>
    <row r="27">
      <c r="A27" s="10" t="inlineStr"/>
      <c r="B27" s="11" t="inlineStr"/>
      <c r="C27" s="11" t="inlineStr">
        <is>
          <t>Recall</t>
        </is>
      </c>
      <c r="D27" s="12" t="n">
        <v>0.5431255337318531</v>
      </c>
      <c r="E27" s="12" t="n">
        <v>0.5687446626814688</v>
      </c>
      <c r="F27" s="12" t="n">
        <v>0.4730999146029035</v>
      </c>
      <c r="G27" s="12" t="n">
        <v>0.5055508112724167</v>
      </c>
      <c r="H27" s="12" t="n">
        <v>0.5303159692570453</v>
      </c>
      <c r="I27" s="12" t="n">
        <v>0.5341588385994877</v>
      </c>
    </row>
    <row r="28">
      <c r="A28" s="10" t="inlineStr"/>
      <c r="B28" s="11" t="inlineStr"/>
      <c r="C28" s="11" t="inlineStr">
        <is>
          <t>F1</t>
        </is>
      </c>
      <c r="D28" s="12" t="n">
        <v>0.5625829279080053</v>
      </c>
      <c r="E28" s="12" t="n">
        <v>0.5720420871805884</v>
      </c>
      <c r="F28" s="12" t="n">
        <v>0.5205543810194972</v>
      </c>
      <c r="G28" s="12" t="n">
        <v>0.5423728813559322</v>
      </c>
      <c r="H28" s="12" t="n">
        <v>0.5587044534412956</v>
      </c>
      <c r="I28" s="12" t="n">
        <v>0.5578595317725753</v>
      </c>
    </row>
    <row r="29">
      <c r="A29" s="7" t="inlineStr">
        <is>
          <t>Vascular smooth muscle</t>
        </is>
      </c>
      <c r="B29" s="8" t="n">
        <v>4501</v>
      </c>
      <c r="C29" s="8" t="inlineStr">
        <is>
          <t>Precision</t>
        </is>
      </c>
      <c r="D29" s="9" t="n">
        <v>0.8747119212235491</v>
      </c>
      <c r="E29" s="9" t="n">
        <v>0.8790757935651047</v>
      </c>
      <c r="F29" s="9" t="n">
        <v>0.8632585203657522</v>
      </c>
      <c r="G29" s="9" t="n">
        <v>0.867165163844293</v>
      </c>
      <c r="H29" s="9" t="n">
        <v>0.8767123287671232</v>
      </c>
      <c r="I29" s="9" t="n">
        <v>0.8749478949562317</v>
      </c>
    </row>
    <row r="30">
      <c r="A30" s="7" t="inlineStr"/>
      <c r="B30" s="8" t="inlineStr"/>
      <c r="C30" s="8" t="inlineStr">
        <is>
          <t>Recall</t>
        </is>
      </c>
      <c r="D30" s="9" t="n">
        <v>0.9275716507442791</v>
      </c>
      <c r="E30" s="9" t="n">
        <v>0.9044656742946012</v>
      </c>
      <c r="F30" s="9" t="n">
        <v>0.9229060208842479</v>
      </c>
      <c r="G30" s="9" t="n">
        <v>0.8760275494334593</v>
      </c>
      <c r="H30" s="9" t="n">
        <v>0.9242390579871139</v>
      </c>
      <c r="I30" s="9" t="n">
        <v>0.9326816263052655</v>
      </c>
    </row>
    <row r="31">
      <c r="A31" s="7" t="inlineStr"/>
      <c r="B31" s="8" t="inlineStr"/>
      <c r="C31" s="8" t="inlineStr">
        <is>
          <t>F1</t>
        </is>
      </c>
      <c r="D31" s="9" t="n">
        <v>0.9003666163467759</v>
      </c>
      <c r="E31" s="9" t="n">
        <v>0.8915900131406045</v>
      </c>
      <c r="F31" s="9" t="n">
        <v>0.8920863309352518</v>
      </c>
      <c r="G31" s="9" t="n">
        <v>0.8715738284703802</v>
      </c>
      <c r="H31" s="9" t="n">
        <v>0.8998485831711011</v>
      </c>
      <c r="I31" s="9" t="n">
        <v>0.9028927841703409</v>
      </c>
    </row>
    <row r="33">
      <c r="A33" s="13" t="inlineStr">
        <is>
          <t>Yellow block = lymphatic endothelial (R3-01). Manuscript PDF: precision 0.153, recall 0.081, F1 0.106, n = 161.</t>
        </is>
      </c>
    </row>
    <row r="35">
      <c r="A35" s="15" t="inlineStr">
        <is>
          <t>F1 only (wide, for the manuscript table)</t>
        </is>
      </c>
    </row>
    <row r="36">
      <c r="A36" s="3" t="inlineStr">
        <is>
          <t>Class</t>
        </is>
      </c>
      <c r="B36" s="3" t="inlineStr">
        <is>
          <t>Support</t>
        </is>
      </c>
      <c r="C36" s="3" t="inlineStr">
        <is>
          <t>K=6 attn seed 42</t>
        </is>
      </c>
      <c r="D36" s="3" t="inlineStr">
        <is>
          <t>K=6 attn seed 0</t>
        </is>
      </c>
      <c r="E36" s="3" t="inlineStr">
        <is>
          <t>K=6 attn seed 20</t>
        </is>
      </c>
      <c r="F36" s="3" t="inlineStr">
        <is>
          <t>K=0</t>
        </is>
      </c>
      <c r="G36" s="3" t="inlineStr">
        <is>
          <t>K=4 attn</t>
        </is>
      </c>
      <c r="H36" s="3" t="inlineStr">
        <is>
          <t>K=6 mean</t>
        </is>
      </c>
    </row>
    <row r="37">
      <c r="A37" s="7" t="inlineStr">
        <is>
          <t>B cells</t>
        </is>
      </c>
      <c r="B37" s="8" t="n">
        <v>2915</v>
      </c>
      <c r="C37" s="9" t="n">
        <v>0.6074304280265574</v>
      </c>
      <c r="D37" s="9" t="n">
        <v>0.6163484486873508</v>
      </c>
      <c r="E37" s="9" t="n">
        <v>0.6004331348132106</v>
      </c>
      <c r="F37" s="9" t="n">
        <v>0.5816930488644184</v>
      </c>
      <c r="G37" s="9" t="n">
        <v>0.5916505391208183</v>
      </c>
      <c r="H37" s="9" t="n">
        <v>0.5909533750869868</v>
      </c>
    </row>
    <row r="38">
      <c r="A38" s="10" t="inlineStr">
        <is>
          <t>Endothelial</t>
        </is>
      </c>
      <c r="B38" s="11" t="n">
        <v>1517</v>
      </c>
      <c r="C38" s="12" t="n">
        <v>0.5099672716453436</v>
      </c>
      <c r="D38" s="12" t="n">
        <v>0.5089722675367048</v>
      </c>
      <c r="E38" s="12" t="n">
        <v>0.5313366611203549</v>
      </c>
      <c r="F38" s="12" t="n">
        <v>0.4384236453201971</v>
      </c>
      <c r="G38" s="12" t="n">
        <v>0.5043089690392595</v>
      </c>
      <c r="H38" s="12" t="n">
        <v>0.5163987138263666</v>
      </c>
    </row>
    <row r="39">
      <c r="A39" s="7" t="inlineStr">
        <is>
          <t>Epithelial</t>
        </is>
      </c>
      <c r="B39" s="8" t="n">
        <v>1138</v>
      </c>
      <c r="C39" s="9" t="n">
        <v>0.8432523051131601</v>
      </c>
      <c r="D39" s="9" t="n">
        <v>0.861013986013986</v>
      </c>
      <c r="E39" s="9" t="n">
        <v>0.8663239074550129</v>
      </c>
      <c r="F39" s="9" t="n">
        <v>0.8077544426494345</v>
      </c>
      <c r="G39" s="9" t="n">
        <v>0.8576358930112166</v>
      </c>
      <c r="H39" s="9" t="n">
        <v>0.8591304347826086</v>
      </c>
    </row>
    <row r="40">
      <c r="A40" s="10" t="inlineStr">
        <is>
          <t>Fibroblasts</t>
        </is>
      </c>
      <c r="B40" s="11" t="n">
        <v>2659</v>
      </c>
      <c r="C40" s="12" t="n">
        <v>0.4907882241215575</v>
      </c>
      <c r="D40" s="12" t="n">
        <v>0.4766317485898469</v>
      </c>
      <c r="E40" s="12" t="n">
        <v>0.4858499525166192</v>
      </c>
      <c r="F40" s="12" t="n">
        <v>0.4841566620743948</v>
      </c>
      <c r="G40" s="12" t="n">
        <v>0.485198000768935</v>
      </c>
      <c r="H40" s="12" t="n">
        <v>0.4901571247968214</v>
      </c>
    </row>
    <row r="41">
      <c r="A41" s="7" t="inlineStr">
        <is>
          <t>Glia</t>
        </is>
      </c>
      <c r="B41" s="8" t="n">
        <v>497</v>
      </c>
      <c r="C41" s="9" t="n">
        <v>0.3573033707865169</v>
      </c>
      <c r="D41" s="9" t="n">
        <v>0.3575</v>
      </c>
      <c r="E41" s="9" t="n">
        <v>0.3376318874560375</v>
      </c>
      <c r="F41" s="9" t="n">
        <v>0.3046511627906976</v>
      </c>
      <c r="G41" s="9" t="n">
        <v>0.3544303797468354</v>
      </c>
      <c r="H41" s="9" t="n">
        <v>0.3451428571428571</v>
      </c>
    </row>
    <row r="42">
      <c r="A42" s="4" t="inlineStr">
        <is>
          <t>Lymphatic endothelial</t>
        </is>
      </c>
      <c r="B42" s="5" t="n">
        <v>161</v>
      </c>
      <c r="C42" s="6" t="n">
        <v>0.111587982832618</v>
      </c>
      <c r="D42" s="6" t="n">
        <v>0.1234567901234568</v>
      </c>
      <c r="E42" s="6" t="n">
        <v>0.1845018450184502</v>
      </c>
      <c r="F42" s="6" t="n">
        <v>0.1185770750988142</v>
      </c>
      <c r="G42" s="6" t="n">
        <v>0.1142857142857143</v>
      </c>
      <c r="H42" s="6" t="n">
        <v>0.1276595744680851</v>
      </c>
    </row>
    <row r="43">
      <c r="A43" s="7" t="inlineStr">
        <is>
          <t>Myeloid</t>
        </is>
      </c>
      <c r="B43" s="8" t="n">
        <v>4523</v>
      </c>
      <c r="C43" s="9" t="n">
        <v>0.5090715048025614</v>
      </c>
      <c r="D43" s="9" t="n">
        <v>0.5288557213930348</v>
      </c>
      <c r="E43" s="9" t="n">
        <v>0.4842776007757307</v>
      </c>
      <c r="F43" s="9" t="n">
        <v>0.4886045581767293</v>
      </c>
      <c r="G43" s="9" t="n">
        <v>0.504543709202611</v>
      </c>
      <c r="H43" s="9" t="n">
        <v>0.4933155080213903</v>
      </c>
    </row>
    <row r="44">
      <c r="A44" s="10" t="inlineStr">
        <is>
          <t>T cells</t>
        </is>
      </c>
      <c r="B44" s="11" t="n">
        <v>2342</v>
      </c>
      <c r="C44" s="12" t="n">
        <v>0.5625829279080053</v>
      </c>
      <c r="D44" s="12" t="n">
        <v>0.5720420871805884</v>
      </c>
      <c r="E44" s="12" t="n">
        <v>0.5205543810194972</v>
      </c>
      <c r="F44" s="12" t="n">
        <v>0.5423728813559322</v>
      </c>
      <c r="G44" s="12" t="n">
        <v>0.5587044534412956</v>
      </c>
      <c r="H44" s="12" t="n">
        <v>0.5578595317725753</v>
      </c>
    </row>
    <row r="45">
      <c r="A45" s="7" t="inlineStr">
        <is>
          <t>Vascular smooth muscle</t>
        </is>
      </c>
      <c r="B45" s="8" t="n">
        <v>4501</v>
      </c>
      <c r="C45" s="9" t="n">
        <v>0.9003666163467759</v>
      </c>
      <c r="D45" s="9" t="n">
        <v>0.8915900131406045</v>
      </c>
      <c r="E45" s="9" t="n">
        <v>0.8920863309352518</v>
      </c>
      <c r="F45" s="9" t="n">
        <v>0.8715738284703802</v>
      </c>
      <c r="G45" s="9" t="n">
        <v>0.8998485831711011</v>
      </c>
      <c r="H45" s="9" t="n">
        <v>0.9028927841703409</v>
      </c>
    </row>
  </sheetData>
  <mergeCells count="3">
    <mergeCell ref="A33:F33"/>
    <mergeCell ref="A2:G2"/>
    <mergeCell ref="A1:G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Notes for the point-by-point letter</t>
        </is>
      </c>
    </row>
    <row r="3">
      <c r="A3" s="3" t="inlineStr">
        <is>
          <t>Item</t>
        </is>
      </c>
      <c r="B3" s="3" t="inlineStr">
        <is>
          <t>Note</t>
        </is>
      </c>
    </row>
    <row r="4" ht="36" customHeight="1">
      <c r="A4" s="7" t="inlineStr">
        <is>
          <t>Protocol</t>
        </is>
      </c>
      <c r="B4" s="19" t="inlineStr">
        <is>
          <t>Train UC6 100% (223,781 cells). Val UC7 stratified 20% (28,941). Test UC1 stratified 10% (20,253). K=6, attention, seed 42 unless stated. use_graph=False, log1p=False, batch 64.</t>
        </is>
      </c>
    </row>
    <row r="5" ht="36" customHeight="1">
      <c r="A5" s="10" t="inlineStr">
        <is>
          <t>Hardware</t>
        </is>
      </c>
      <c r="B5" s="20" t="inlineStr">
        <is>
          <t>Revision runs: 1× A100 SXM4 40 GB. Manuscript PDF numbers came from a different machine and are slightly lower.</t>
        </is>
      </c>
    </row>
    <row r="6" ht="36" customHeight="1">
      <c r="A6" s="7" t="inlineStr">
        <is>
          <t>R2-M2</t>
        </is>
      </c>
      <c r="B6" s="19" t="inlineStr">
        <is>
          <t>K=0 vs K=6 mean vs K=6 attention on the same seed-42 cells. Neighbours dominate; attention vs mean is +0.002 PCC.</t>
        </is>
      </c>
    </row>
    <row r="7" ht="36" customHeight="1">
      <c r="A7" s="10" t="inlineStr">
        <is>
          <t>R2-M3</t>
        </is>
      </c>
      <c r="B7" s="20" t="inlineStr">
        <is>
          <t>Seeds 0, 20, 42. Mean ± s.d.: PCC 0.223 ± 0.001, acc 0.631 ± 0.006, macro-F1 0.546 ± 0.003.</t>
        </is>
      </c>
    </row>
    <row r="8" ht="36" customHeight="1">
      <c r="A8" s="7" t="inlineStr">
        <is>
          <t>R2-M4</t>
        </is>
      </c>
      <c r="B8" s="19" t="inlineStr">
        <is>
          <t>Spearman / MAE / RMSE on z-scored expression for seeds 0, 20, 42 (sheet Expressao).</t>
        </is>
      </c>
    </row>
    <row r="9" ht="36" customHeight="1">
      <c r="A9" s="10" t="inlineStr">
        <is>
          <t>R2-m3</t>
        </is>
      </c>
      <c r="B9" s="20" t="inlineStr">
        <is>
          <t>K=0, 4, 6. K=8 not run. Curve is monotonic and plateaus after K=4.</t>
        </is>
      </c>
    </row>
    <row r="10" ht="36" customHeight="1">
      <c r="A10" s="7" t="inlineStr">
        <is>
          <t>R3-01</t>
        </is>
      </c>
      <c r="B10" s="19" t="inlineStr">
        <is>
          <t>Lymphatic endothelial: precision and recall both low (A100 seed 42: P=0.181, R=0.081, F1=0.112, n=161).</t>
        </is>
      </c>
    </row>
    <row r="11" ht="36" customHeight="1">
      <c r="A11" s="10" t="inlineStr">
        <is>
          <t>Code</t>
        </is>
      </c>
      <c r="B11" s="20" t="inlineStr">
        <is>
          <t>https://github.com/tfs4/MOSAIC  |  DOI 10.5281/zenodo.22550484</t>
        </is>
      </c>
    </row>
    <row r="12" ht="36" customHeight="1">
      <c r="A12" s="7" t="inlineStr">
        <is>
          <t>Folders</t>
        </is>
      </c>
      <c r="B12" s="19" t="inlineStr">
        <is>
          <t>Typo on disk: results/abalation_k and results/ablation_agg/k6_aff_mean (script name is k6_agg_mean).</t>
        </is>
      </c>
    </row>
    <row r="13" ht="36" customHeight="1">
      <c r="A13" s="10" t="inlineStr">
        <is>
          <t>Missing locally</t>
        </is>
      </c>
      <c r="B13" s="20" t="inlineStr">
        <is>
          <t>results/mosaic_k6_seed42/results.csv was not copied; headline numbers for that run come from metrics_UC1.csv + expression_metrics.csv.</t>
        </is>
      </c>
    </row>
  </sheetData>
  <mergeCells count="1">
    <mergeCell ref="A1:B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2026-09-06T19:19:34Z</dcterms:created>
  <dcterms:modified xmlns:dcterms="http://purl.org/dc/terms/" xmlns:xsi="http://www.w3.org/2001/XMLSchema-instance" xsi:type="dcterms:W3CDTF">2026-09-06T19:19:34Z</dcterms:modified>
</cp:coreProperties>
</file>